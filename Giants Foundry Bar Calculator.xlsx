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ohn Reynolds\Documents\"/>
    </mc:Choice>
  </mc:AlternateContent>
  <bookViews>
    <workbookView xWindow="0" yWindow="0" windowWidth="28800" windowHeight="123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1" l="1"/>
  <c r="L3" i="1" s="1"/>
  <c r="D35" i="1" l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K37" i="1"/>
  <c r="L37" i="1" s="1"/>
  <c r="K38" i="1"/>
  <c r="L38" i="1" s="1"/>
  <c r="K39" i="1"/>
  <c r="N39" i="1" s="1"/>
  <c r="K40" i="1"/>
  <c r="L40" i="1" s="1"/>
  <c r="K41" i="1"/>
  <c r="N41" i="1" s="1"/>
  <c r="L41" i="1"/>
  <c r="K42" i="1"/>
  <c r="L42" i="1" s="1"/>
  <c r="K43" i="1"/>
  <c r="L43" i="1" s="1"/>
  <c r="K44" i="1"/>
  <c r="L44" i="1" s="1"/>
  <c r="K45" i="1"/>
  <c r="L45" i="1" s="1"/>
  <c r="N45" i="1"/>
  <c r="K46" i="1"/>
  <c r="N46" i="1" s="1"/>
  <c r="K47" i="1"/>
  <c r="L47" i="1" s="1"/>
  <c r="K48" i="1"/>
  <c r="N48" i="1" s="1"/>
  <c r="K49" i="1"/>
  <c r="L49" i="1" s="1"/>
  <c r="K50" i="1"/>
  <c r="N50" i="1" s="1"/>
  <c r="K21" i="1"/>
  <c r="N21" i="1" s="1"/>
  <c r="K22" i="1"/>
  <c r="N22" i="1" s="1"/>
  <c r="K23" i="1"/>
  <c r="N23" i="1" s="1"/>
  <c r="K24" i="1"/>
  <c r="N24" i="1" s="1"/>
  <c r="K25" i="1"/>
  <c r="N25" i="1" s="1"/>
  <c r="K26" i="1"/>
  <c r="N26" i="1" s="1"/>
  <c r="K27" i="1"/>
  <c r="N27" i="1" s="1"/>
  <c r="K28" i="1"/>
  <c r="K29" i="1"/>
  <c r="N29" i="1" s="1"/>
  <c r="K30" i="1"/>
  <c r="N30" i="1" s="1"/>
  <c r="K31" i="1"/>
  <c r="L31" i="1" s="1"/>
  <c r="K32" i="1"/>
  <c r="L32" i="1" s="1"/>
  <c r="K33" i="1"/>
  <c r="N33" i="1" s="1"/>
  <c r="K20" i="1"/>
  <c r="L20" i="1" s="1"/>
  <c r="N3" i="1"/>
  <c r="N28" i="1"/>
  <c r="K4" i="1"/>
  <c r="N4" i="1" s="1"/>
  <c r="K5" i="1"/>
  <c r="N5" i="1" s="1"/>
  <c r="K6" i="1"/>
  <c r="N6" i="1" s="1"/>
  <c r="K7" i="1"/>
  <c r="N7" i="1" s="1"/>
  <c r="K8" i="1"/>
  <c r="N8" i="1" s="1"/>
  <c r="K9" i="1"/>
  <c r="N9" i="1" s="1"/>
  <c r="K10" i="1"/>
  <c r="N10" i="1" s="1"/>
  <c r="K11" i="1"/>
  <c r="L11" i="1" s="1"/>
  <c r="K12" i="1"/>
  <c r="L12" i="1" s="1"/>
  <c r="K13" i="1"/>
  <c r="N13" i="1" s="1"/>
  <c r="K14" i="1"/>
  <c r="N14" i="1" s="1"/>
  <c r="K15" i="1"/>
  <c r="N15" i="1" s="1"/>
  <c r="K16" i="1"/>
  <c r="N16" i="1" s="1"/>
  <c r="L29" i="1"/>
  <c r="L30" i="1"/>
  <c r="L33" i="1" l="1"/>
  <c r="L48" i="1"/>
  <c r="L21" i="1"/>
  <c r="L50" i="1"/>
  <c r="N40" i="1"/>
  <c r="L25" i="1"/>
  <c r="L16" i="1"/>
  <c r="D36" i="1"/>
  <c r="O50" i="1" s="1"/>
  <c r="L39" i="1"/>
  <c r="N43" i="1"/>
  <c r="N47" i="1"/>
  <c r="N38" i="1"/>
  <c r="L46" i="1"/>
  <c r="N42" i="1"/>
  <c r="N49" i="1"/>
  <c r="N37" i="1"/>
  <c r="N44" i="1"/>
  <c r="L26" i="1"/>
  <c r="N32" i="1"/>
  <c r="N31" i="1"/>
  <c r="N20" i="1"/>
  <c r="L24" i="1"/>
  <c r="L23" i="1"/>
  <c r="L22" i="1"/>
  <c r="L28" i="1"/>
  <c r="L27" i="1"/>
  <c r="L9" i="1"/>
  <c r="L10" i="1"/>
  <c r="N11" i="1"/>
  <c r="L5" i="1"/>
  <c r="L6" i="1"/>
  <c r="L8" i="1"/>
  <c r="L4" i="1"/>
  <c r="N12" i="1"/>
  <c r="L7" i="1"/>
  <c r="L13" i="1"/>
  <c r="L14" i="1"/>
  <c r="L15" i="1"/>
  <c r="D5" i="1"/>
  <c r="O40" i="1" l="1"/>
  <c r="O44" i="1"/>
  <c r="O49" i="1"/>
  <c r="O37" i="1"/>
  <c r="O45" i="1"/>
  <c r="O42" i="1"/>
  <c r="O46" i="1"/>
  <c r="O48" i="1"/>
  <c r="O38" i="1"/>
  <c r="O39" i="1"/>
  <c r="O47" i="1"/>
  <c r="O41" i="1"/>
  <c r="O43" i="1"/>
  <c r="D7" i="1"/>
  <c r="F16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2" i="1"/>
  <c r="D3" i="1"/>
  <c r="D4" i="1"/>
  <c r="D6" i="1"/>
  <c r="D8" i="1"/>
  <c r="D9" i="1"/>
  <c r="D10" i="1"/>
  <c r="D11" i="1"/>
  <c r="D12" i="1"/>
  <c r="D13" i="1"/>
  <c r="D14" i="1"/>
  <c r="D15" i="1"/>
  <c r="D16" i="1"/>
  <c r="D2" i="1"/>
  <c r="D17" i="1" l="1"/>
  <c r="F17" i="1"/>
  <c r="O21" i="1" l="1"/>
  <c r="O29" i="1"/>
  <c r="O22" i="1"/>
  <c r="O30" i="1"/>
  <c r="O33" i="1"/>
  <c r="O27" i="1"/>
  <c r="O28" i="1"/>
  <c r="O26" i="1"/>
  <c r="O23" i="1"/>
  <c r="O24" i="1"/>
  <c r="O25" i="1"/>
  <c r="O20" i="1"/>
  <c r="O31" i="1"/>
  <c r="O32" i="1"/>
  <c r="M44" i="1"/>
  <c r="M33" i="1"/>
  <c r="M49" i="1"/>
  <c r="M48" i="1"/>
  <c r="M29" i="1"/>
  <c r="M47" i="1"/>
  <c r="M20" i="1"/>
  <c r="M43" i="1"/>
  <c r="M31" i="1"/>
  <c r="M40" i="1"/>
  <c r="M30" i="1"/>
  <c r="M38" i="1"/>
  <c r="M37" i="1"/>
  <c r="M45" i="1"/>
  <c r="M42" i="1"/>
  <c r="M32" i="1"/>
  <c r="M21" i="1"/>
  <c r="M41" i="1"/>
  <c r="M26" i="1"/>
  <c r="M25" i="1"/>
  <c r="M50" i="1"/>
  <c r="M22" i="1"/>
  <c r="M39" i="1"/>
  <c r="M27" i="1"/>
  <c r="M28" i="1"/>
  <c r="M46" i="1"/>
  <c r="M23" i="1"/>
  <c r="M24" i="1"/>
  <c r="M4" i="1"/>
  <c r="M13" i="1"/>
  <c r="M5" i="1"/>
  <c r="M14" i="1"/>
  <c r="M15" i="1"/>
  <c r="M10" i="1"/>
  <c r="M16" i="1"/>
  <c r="M7" i="1"/>
  <c r="M6" i="1"/>
  <c r="M3" i="1"/>
  <c r="M12" i="1"/>
  <c r="M8" i="1"/>
  <c r="M11" i="1"/>
  <c r="M9" i="1"/>
  <c r="O12" i="1"/>
  <c r="O4" i="1"/>
  <c r="O10" i="1"/>
  <c r="O14" i="1"/>
  <c r="O16" i="1"/>
  <c r="O5" i="1"/>
  <c r="O3" i="1"/>
  <c r="O15" i="1"/>
  <c r="O13" i="1"/>
  <c r="O7" i="1"/>
  <c r="O6" i="1"/>
  <c r="O9" i="1"/>
  <c r="O8" i="1"/>
  <c r="O11" i="1"/>
</calcChain>
</file>

<file path=xl/sharedStrings.xml><?xml version="1.0" encoding="utf-8"?>
<sst xmlns="http://schemas.openxmlformats.org/spreadsheetml/2006/main" count="63" uniqueCount="36">
  <si>
    <t>Item</t>
  </si>
  <si>
    <t>Mithril</t>
  </si>
  <si>
    <t>Adamant</t>
  </si>
  <si>
    <t>Scimitar</t>
  </si>
  <si>
    <t>Longsword</t>
  </si>
  <si>
    <t>Full Helm</t>
  </si>
  <si>
    <t>Square Shield</t>
  </si>
  <si>
    <t>Claws</t>
  </si>
  <si>
    <t>Warhammer</t>
  </si>
  <si>
    <t>Battleaxe</t>
  </si>
  <si>
    <t>Chainbody</t>
  </si>
  <si>
    <t>Kiteshield</t>
  </si>
  <si>
    <t>2h</t>
  </si>
  <si>
    <t>Platelegs</t>
  </si>
  <si>
    <t>Plateskirt</t>
  </si>
  <si>
    <t>Platebody</t>
  </si>
  <si>
    <t>Bars</t>
  </si>
  <si>
    <t>Ore</t>
  </si>
  <si>
    <t>Mithril Bar Equivalent</t>
  </si>
  <si>
    <t>Adamant Bar Equivalent</t>
  </si>
  <si>
    <t>Totals</t>
  </si>
  <si>
    <t>Swords</t>
  </si>
  <si>
    <t>Addy</t>
  </si>
  <si>
    <t>Addy Diff</t>
  </si>
  <si>
    <t>Mith Diff</t>
  </si>
  <si>
    <t>18M 10A</t>
  </si>
  <si>
    <t>18A 10M</t>
  </si>
  <si>
    <t>Average sword (18M10A)</t>
  </si>
  <si>
    <t>Average sword (10M18A)</t>
  </si>
  <si>
    <t>Current XP</t>
  </si>
  <si>
    <t>Average sword (18A10R)</t>
  </si>
  <si>
    <t>18A 10R</t>
  </si>
  <si>
    <t>Rune</t>
  </si>
  <si>
    <t>Rune Diff</t>
  </si>
  <si>
    <t>Mith</t>
  </si>
  <si>
    <t>Rune Bar Equivalent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</si>
</sst>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21">
    <dxf>
      <font>
        <color rgb="FFFF0000"/>
      </font>
    </dxf>
    <dxf>
      <font>
        <color rgb="FFFF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FF0000"/>
      </font>
    </dxf>
    <dxf>
      <font>
        <color rgb="FFC00000"/>
      </font>
    </dxf>
    <dxf>
      <font>
        <color rgb="FFFF0000"/>
      </font>
    </dxf>
    <dxf>
      <font>
        <color rgb="FFFF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FF0000"/>
      </font>
    </dxf>
    <dxf>
      <font>
        <color rgb="FFC00000"/>
      </font>
    </dxf>
    <dxf>
      <font>
        <color rgb="FFFF0000"/>
      </font>
    </dxf>
    <dxf>
      <font>
        <color rgb="FFFF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FF0000"/>
      </font>
    </dxf>
    <dxf>
      <font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"/>
  <sheetViews>
    <sheetView tabSelected="1" workbookViewId="0">
      <selection activeCell="G31" sqref="G31"/>
    </sheetView>
  </sheetViews>
  <sheetFormatPr defaultRowHeight="15" x14ac:dyDescent="0.25"/>
  <cols>
    <col min="1" max="1" width="19.140625" customWidth="1"/>
    <col min="4" max="4" width="20.5703125" bestFit="1" customWidth="1"/>
    <col min="6" max="6" width="22.5703125" bestFit="1" customWidth="1"/>
    <col min="8" max="8" width="23.42578125" bestFit="1" customWidth="1"/>
  </cols>
  <sheetData>
    <row r="1" spans="1:15" x14ac:dyDescent="0.25">
      <c r="A1" s="1" t="s">
        <v>0</v>
      </c>
      <c r="B1" s="1" t="s">
        <v>16</v>
      </c>
      <c r="C1" s="1" t="s">
        <v>1</v>
      </c>
      <c r="D1" s="1" t="s">
        <v>18</v>
      </c>
      <c r="E1" s="1" t="s">
        <v>2</v>
      </c>
      <c r="F1" s="1" t="s">
        <v>19</v>
      </c>
      <c r="K1" t="s">
        <v>25</v>
      </c>
    </row>
    <row r="2" spans="1:15" x14ac:dyDescent="0.25">
      <c r="A2" t="s">
        <v>3</v>
      </c>
      <c r="B2">
        <v>1</v>
      </c>
      <c r="D2">
        <f>B2*C2</f>
        <v>0</v>
      </c>
      <c r="E2">
        <v>19</v>
      </c>
      <c r="F2">
        <f>B2*E2</f>
        <v>19</v>
      </c>
      <c r="K2" t="s">
        <v>21</v>
      </c>
      <c r="L2" t="s">
        <v>22</v>
      </c>
      <c r="M2" t="s">
        <v>23</v>
      </c>
      <c r="N2" t="s">
        <v>34</v>
      </c>
      <c r="O2" t="s">
        <v>24</v>
      </c>
    </row>
    <row r="3" spans="1:15" x14ac:dyDescent="0.25">
      <c r="A3" t="s">
        <v>4</v>
      </c>
      <c r="B3">
        <v>1</v>
      </c>
      <c r="D3">
        <f t="shared" ref="D3:D16" si="0">B3*C3</f>
        <v>0</v>
      </c>
      <c r="F3">
        <f t="shared" ref="F3:F16" si="1">B3*E3</f>
        <v>0</v>
      </c>
      <c r="H3" t="s">
        <v>27</v>
      </c>
      <c r="I3">
        <v>15561</v>
      </c>
      <c r="J3">
        <v>86</v>
      </c>
      <c r="K3">
        <f>CEILING((I7-$I$6)/$I$3,1)</f>
        <v>0</v>
      </c>
      <c r="L3">
        <f>10*K3</f>
        <v>0</v>
      </c>
      <c r="M3">
        <f>$F$17-L3</f>
        <v>8194</v>
      </c>
      <c r="N3">
        <f>18*K3</f>
        <v>0</v>
      </c>
      <c r="O3">
        <f>$D$17-N3</f>
        <v>2617</v>
      </c>
    </row>
    <row r="4" spans="1:15" x14ac:dyDescent="0.25">
      <c r="A4" t="s">
        <v>5</v>
      </c>
      <c r="B4">
        <v>1</v>
      </c>
      <c r="C4">
        <v>63</v>
      </c>
      <c r="D4">
        <f t="shared" si="0"/>
        <v>63</v>
      </c>
      <c r="F4">
        <f t="shared" si="1"/>
        <v>0</v>
      </c>
      <c r="H4" t="s">
        <v>28</v>
      </c>
      <c r="I4">
        <v>16065</v>
      </c>
      <c r="J4">
        <v>87</v>
      </c>
      <c r="K4">
        <f t="shared" ref="K4:K16" si="2">CEILING((I8-$I$6)/$I$3,1)</f>
        <v>24</v>
      </c>
      <c r="L4">
        <f t="shared" ref="L4:L16" si="3">10*K4</f>
        <v>240</v>
      </c>
      <c r="M4">
        <f t="shared" ref="M4:M16" si="4">$F$17-L4</f>
        <v>7954</v>
      </c>
      <c r="N4">
        <f t="shared" ref="N4:N9" si="5">18*K4</f>
        <v>432</v>
      </c>
      <c r="O4">
        <f t="shared" ref="O4:O16" si="6">$D$17-N4</f>
        <v>2185</v>
      </c>
    </row>
    <row r="5" spans="1:15" x14ac:dyDescent="0.25">
      <c r="A5" t="s">
        <v>6</v>
      </c>
      <c r="B5">
        <v>1</v>
      </c>
      <c r="D5">
        <f t="shared" si="0"/>
        <v>0</v>
      </c>
      <c r="F5">
        <f t="shared" si="1"/>
        <v>0</v>
      </c>
      <c r="H5" t="s">
        <v>30</v>
      </c>
      <c r="I5">
        <v>21477</v>
      </c>
      <c r="J5">
        <v>88</v>
      </c>
      <c r="K5">
        <f t="shared" si="2"/>
        <v>51</v>
      </c>
      <c r="L5">
        <f t="shared" si="3"/>
        <v>510</v>
      </c>
      <c r="M5">
        <f t="shared" si="4"/>
        <v>7684</v>
      </c>
      <c r="N5">
        <f t="shared" si="5"/>
        <v>918</v>
      </c>
      <c r="O5">
        <f t="shared" si="6"/>
        <v>1699</v>
      </c>
    </row>
    <row r="6" spans="1:15" x14ac:dyDescent="0.25">
      <c r="A6" t="s">
        <v>7</v>
      </c>
      <c r="B6">
        <v>1</v>
      </c>
      <c r="D6">
        <f t="shared" si="0"/>
        <v>0</v>
      </c>
      <c r="F6">
        <f t="shared" si="1"/>
        <v>0</v>
      </c>
      <c r="H6" t="s">
        <v>29</v>
      </c>
      <c r="I6">
        <v>3599950</v>
      </c>
      <c r="J6">
        <v>89</v>
      </c>
      <c r="K6">
        <f t="shared" si="2"/>
        <v>80</v>
      </c>
      <c r="L6">
        <f t="shared" si="3"/>
        <v>800</v>
      </c>
      <c r="M6">
        <f t="shared" si="4"/>
        <v>7394</v>
      </c>
      <c r="N6">
        <f t="shared" si="5"/>
        <v>1440</v>
      </c>
      <c r="O6">
        <f t="shared" si="6"/>
        <v>1177</v>
      </c>
    </row>
    <row r="7" spans="1:15" x14ac:dyDescent="0.25">
      <c r="A7" t="s">
        <v>8</v>
      </c>
      <c r="B7">
        <v>2</v>
      </c>
      <c r="D7">
        <f t="shared" si="0"/>
        <v>0</v>
      </c>
      <c r="F7">
        <f t="shared" si="1"/>
        <v>0</v>
      </c>
      <c r="H7">
        <v>86</v>
      </c>
      <c r="I7">
        <v>3597792</v>
      </c>
      <c r="J7">
        <v>90</v>
      </c>
      <c r="K7">
        <f t="shared" si="2"/>
        <v>113</v>
      </c>
      <c r="L7">
        <f t="shared" si="3"/>
        <v>1130</v>
      </c>
      <c r="M7">
        <f t="shared" si="4"/>
        <v>7064</v>
      </c>
      <c r="N7">
        <f t="shared" si="5"/>
        <v>2034</v>
      </c>
      <c r="O7">
        <f t="shared" si="6"/>
        <v>583</v>
      </c>
    </row>
    <row r="8" spans="1:15" x14ac:dyDescent="0.25">
      <c r="A8" t="s">
        <v>9</v>
      </c>
      <c r="B8">
        <v>2</v>
      </c>
      <c r="C8">
        <v>32</v>
      </c>
      <c r="D8">
        <f t="shared" si="0"/>
        <v>64</v>
      </c>
      <c r="E8">
        <v>256</v>
      </c>
      <c r="F8">
        <f t="shared" si="1"/>
        <v>512</v>
      </c>
      <c r="H8">
        <v>87</v>
      </c>
      <c r="I8">
        <v>3972294</v>
      </c>
      <c r="J8">
        <v>91</v>
      </c>
      <c r="K8">
        <f t="shared" si="2"/>
        <v>148</v>
      </c>
      <c r="L8">
        <f t="shared" si="3"/>
        <v>1480</v>
      </c>
      <c r="M8">
        <f t="shared" si="4"/>
        <v>6714</v>
      </c>
      <c r="N8">
        <f t="shared" si="5"/>
        <v>2664</v>
      </c>
      <c r="O8">
        <f t="shared" si="6"/>
        <v>-47</v>
      </c>
    </row>
    <row r="9" spans="1:15" x14ac:dyDescent="0.25">
      <c r="A9" t="s">
        <v>10</v>
      </c>
      <c r="B9">
        <v>2</v>
      </c>
      <c r="D9">
        <f t="shared" si="0"/>
        <v>0</v>
      </c>
      <c r="E9">
        <v>2</v>
      </c>
      <c r="F9">
        <f t="shared" si="1"/>
        <v>4</v>
      </c>
      <c r="H9">
        <v>88</v>
      </c>
      <c r="I9">
        <v>4385776</v>
      </c>
      <c r="J9">
        <v>92</v>
      </c>
      <c r="K9">
        <f t="shared" si="2"/>
        <v>188</v>
      </c>
      <c r="L9">
        <f t="shared" si="3"/>
        <v>1880</v>
      </c>
      <c r="M9">
        <f t="shared" si="4"/>
        <v>6314</v>
      </c>
      <c r="N9">
        <f t="shared" si="5"/>
        <v>3384</v>
      </c>
      <c r="O9">
        <f t="shared" si="6"/>
        <v>-767</v>
      </c>
    </row>
    <row r="10" spans="1:15" x14ac:dyDescent="0.25">
      <c r="A10" t="s">
        <v>11</v>
      </c>
      <c r="B10">
        <v>2</v>
      </c>
      <c r="D10">
        <f t="shared" si="0"/>
        <v>0</v>
      </c>
      <c r="E10">
        <v>296</v>
      </c>
      <c r="F10">
        <f t="shared" si="1"/>
        <v>592</v>
      </c>
      <c r="H10">
        <v>89</v>
      </c>
      <c r="I10">
        <v>4842295</v>
      </c>
      <c r="J10">
        <v>93</v>
      </c>
      <c r="K10">
        <f t="shared" si="2"/>
        <v>232</v>
      </c>
      <c r="L10">
        <f>10*K10</f>
        <v>2320</v>
      </c>
      <c r="M10">
        <f>$F$17-L10</f>
        <v>5874</v>
      </c>
      <c r="N10">
        <f>18*K10</f>
        <v>4176</v>
      </c>
      <c r="O10">
        <f t="shared" si="6"/>
        <v>-1559</v>
      </c>
    </row>
    <row r="11" spans="1:15" x14ac:dyDescent="0.25">
      <c r="A11" t="s">
        <v>12</v>
      </c>
      <c r="B11">
        <v>2</v>
      </c>
      <c r="D11">
        <f t="shared" si="0"/>
        <v>0</v>
      </c>
      <c r="F11">
        <f t="shared" si="1"/>
        <v>0</v>
      </c>
      <c r="H11">
        <v>90</v>
      </c>
      <c r="I11">
        <v>5346332</v>
      </c>
      <c r="J11">
        <v>94</v>
      </c>
      <c r="K11">
        <f t="shared" si="2"/>
        <v>280</v>
      </c>
      <c r="L11">
        <f t="shared" si="3"/>
        <v>2800</v>
      </c>
      <c r="M11">
        <f t="shared" si="4"/>
        <v>5394</v>
      </c>
      <c r="N11">
        <f t="shared" ref="N11:N16" si="7">18*K11</f>
        <v>5040</v>
      </c>
      <c r="O11">
        <f t="shared" si="6"/>
        <v>-2423</v>
      </c>
    </row>
    <row r="12" spans="1:15" x14ac:dyDescent="0.25">
      <c r="A12" t="s">
        <v>13</v>
      </c>
      <c r="B12">
        <v>2</v>
      </c>
      <c r="D12">
        <f t="shared" si="0"/>
        <v>0</v>
      </c>
      <c r="E12">
        <v>32</v>
      </c>
      <c r="F12">
        <f t="shared" si="1"/>
        <v>64</v>
      </c>
      <c r="H12">
        <v>91</v>
      </c>
      <c r="I12">
        <v>5902831</v>
      </c>
      <c r="J12">
        <v>95</v>
      </c>
      <c r="K12">
        <f t="shared" si="2"/>
        <v>333</v>
      </c>
      <c r="L12">
        <f t="shared" si="3"/>
        <v>3330</v>
      </c>
      <c r="M12">
        <f t="shared" si="4"/>
        <v>4864</v>
      </c>
      <c r="N12">
        <f t="shared" si="7"/>
        <v>5994</v>
      </c>
      <c r="O12">
        <f t="shared" si="6"/>
        <v>-3377</v>
      </c>
    </row>
    <row r="13" spans="1:15" x14ac:dyDescent="0.25">
      <c r="A13" t="s">
        <v>14</v>
      </c>
      <c r="B13">
        <v>2</v>
      </c>
      <c r="D13">
        <f t="shared" si="0"/>
        <v>0</v>
      </c>
      <c r="F13">
        <f t="shared" si="1"/>
        <v>0</v>
      </c>
      <c r="H13">
        <v>92</v>
      </c>
      <c r="I13">
        <v>6517253</v>
      </c>
      <c r="J13">
        <v>96</v>
      </c>
      <c r="K13">
        <f t="shared" si="2"/>
        <v>392</v>
      </c>
      <c r="L13">
        <f t="shared" si="3"/>
        <v>3920</v>
      </c>
      <c r="M13">
        <f t="shared" si="4"/>
        <v>4274</v>
      </c>
      <c r="N13">
        <f t="shared" si="7"/>
        <v>7056</v>
      </c>
      <c r="O13">
        <f t="shared" si="6"/>
        <v>-4439</v>
      </c>
    </row>
    <row r="14" spans="1:15" x14ac:dyDescent="0.25">
      <c r="A14" t="s">
        <v>15</v>
      </c>
      <c r="B14">
        <v>4</v>
      </c>
      <c r="D14">
        <f t="shared" si="0"/>
        <v>0</v>
      </c>
      <c r="E14">
        <v>45</v>
      </c>
      <c r="F14">
        <f t="shared" si="1"/>
        <v>180</v>
      </c>
      <c r="H14">
        <v>93</v>
      </c>
      <c r="I14">
        <v>7195629</v>
      </c>
      <c r="J14">
        <v>97</v>
      </c>
      <c r="K14">
        <f t="shared" si="2"/>
        <v>456</v>
      </c>
      <c r="L14">
        <f t="shared" si="3"/>
        <v>4560</v>
      </c>
      <c r="M14">
        <f t="shared" si="4"/>
        <v>3634</v>
      </c>
      <c r="N14">
        <f t="shared" si="7"/>
        <v>8208</v>
      </c>
      <c r="O14">
        <f t="shared" si="6"/>
        <v>-5591</v>
      </c>
    </row>
    <row r="15" spans="1:15" x14ac:dyDescent="0.25">
      <c r="A15" t="s">
        <v>16</v>
      </c>
      <c r="B15">
        <v>1</v>
      </c>
      <c r="C15">
        <v>1499</v>
      </c>
      <c r="D15">
        <f t="shared" si="0"/>
        <v>1499</v>
      </c>
      <c r="E15">
        <v>1495</v>
      </c>
      <c r="F15">
        <f t="shared" si="1"/>
        <v>1495</v>
      </c>
      <c r="H15">
        <v>94</v>
      </c>
      <c r="I15">
        <v>7944614</v>
      </c>
      <c r="J15">
        <v>98</v>
      </c>
      <c r="K15">
        <f t="shared" si="2"/>
        <v>528</v>
      </c>
      <c r="L15">
        <f t="shared" si="3"/>
        <v>5280</v>
      </c>
      <c r="M15">
        <f t="shared" si="4"/>
        <v>2914</v>
      </c>
      <c r="N15">
        <f t="shared" si="7"/>
        <v>9504</v>
      </c>
      <c r="O15">
        <f t="shared" si="6"/>
        <v>-6887</v>
      </c>
    </row>
    <row r="16" spans="1:15" x14ac:dyDescent="0.25">
      <c r="A16" t="s">
        <v>17</v>
      </c>
      <c r="B16">
        <v>1</v>
      </c>
      <c r="C16">
        <v>991</v>
      </c>
      <c r="D16">
        <f t="shared" si="0"/>
        <v>991</v>
      </c>
      <c r="E16">
        <v>5328</v>
      </c>
      <c r="F16">
        <f t="shared" si="1"/>
        <v>5328</v>
      </c>
      <c r="H16">
        <v>95</v>
      </c>
      <c r="I16">
        <v>8771558</v>
      </c>
      <c r="J16">
        <v>99</v>
      </c>
      <c r="K16">
        <f t="shared" si="2"/>
        <v>607</v>
      </c>
      <c r="L16">
        <f t="shared" si="3"/>
        <v>6070</v>
      </c>
      <c r="M16">
        <f t="shared" si="4"/>
        <v>2124</v>
      </c>
      <c r="N16">
        <f t="shared" si="7"/>
        <v>10926</v>
      </c>
      <c r="O16">
        <f t="shared" si="6"/>
        <v>-8309</v>
      </c>
    </row>
    <row r="17" spans="1:15" x14ac:dyDescent="0.25">
      <c r="A17" t="s">
        <v>20</v>
      </c>
      <c r="D17">
        <f>SUM(D2:D16)</f>
        <v>2617</v>
      </c>
      <c r="F17">
        <f>SUM(F2:F16)</f>
        <v>8194</v>
      </c>
      <c r="H17">
        <v>96</v>
      </c>
      <c r="I17">
        <v>9684577</v>
      </c>
    </row>
    <row r="18" spans="1:15" x14ac:dyDescent="0.25">
      <c r="H18">
        <v>97</v>
      </c>
      <c r="I18">
        <v>10692629</v>
      </c>
      <c r="K18" t="s">
        <v>26</v>
      </c>
    </row>
    <row r="19" spans="1:15" x14ac:dyDescent="0.25">
      <c r="H19">
        <v>98</v>
      </c>
      <c r="I19">
        <v>11805606</v>
      </c>
      <c r="K19" t="s">
        <v>21</v>
      </c>
      <c r="L19" t="s">
        <v>22</v>
      </c>
      <c r="M19" t="s">
        <v>23</v>
      </c>
      <c r="N19" t="s">
        <v>34</v>
      </c>
      <c r="O19" t="s">
        <v>24</v>
      </c>
    </row>
    <row r="20" spans="1:15" x14ac:dyDescent="0.25">
      <c r="B20" s="1" t="s">
        <v>16</v>
      </c>
      <c r="C20" s="1" t="s">
        <v>32</v>
      </c>
      <c r="D20" s="1" t="s">
        <v>35</v>
      </c>
      <c r="H20">
        <v>99</v>
      </c>
      <c r="I20">
        <v>13034431</v>
      </c>
      <c r="J20">
        <v>86</v>
      </c>
      <c r="K20">
        <f>CEILING((I7-$I$6)/$I$4,1)</f>
        <v>0</v>
      </c>
      <c r="L20">
        <f>18*K20</f>
        <v>0</v>
      </c>
      <c r="M20">
        <f>$F$17-L20</f>
        <v>8194</v>
      </c>
      <c r="N20">
        <f>10*K20</f>
        <v>0</v>
      </c>
      <c r="O20">
        <f>$D$17-N20</f>
        <v>2617</v>
      </c>
    </row>
    <row r="21" spans="1:15" x14ac:dyDescent="0.25">
      <c r="A21" t="s">
        <v>3</v>
      </c>
      <c r="B21">
        <v>1</v>
      </c>
      <c r="D21">
        <f>B21*C21</f>
        <v>0</v>
      </c>
      <c r="J21">
        <v>87</v>
      </c>
      <c r="K21">
        <f t="shared" ref="K21:K33" si="8">CEILING((I8-$I$6)/$I$4,1)</f>
        <v>24</v>
      </c>
      <c r="L21">
        <f t="shared" ref="L21:L33" si="9">18*K21</f>
        <v>432</v>
      </c>
      <c r="M21">
        <f t="shared" ref="M21:M26" si="10">$F$17-L21</f>
        <v>7762</v>
      </c>
      <c r="N21">
        <f t="shared" ref="N21:N33" si="11">10*K21</f>
        <v>240</v>
      </c>
      <c r="O21">
        <f t="shared" ref="O21:O33" si="12">$D$17-N21</f>
        <v>2377</v>
      </c>
    </row>
    <row r="22" spans="1:15" x14ac:dyDescent="0.25">
      <c r="A22" t="s">
        <v>4</v>
      </c>
      <c r="B22">
        <v>1</v>
      </c>
      <c r="D22">
        <f t="shared" ref="D22:D35" si="13">B22*C22</f>
        <v>0</v>
      </c>
      <c r="J22">
        <v>88</v>
      </c>
      <c r="K22">
        <f t="shared" si="8"/>
        <v>49</v>
      </c>
      <c r="L22">
        <f t="shared" si="9"/>
        <v>882</v>
      </c>
      <c r="M22">
        <f t="shared" si="10"/>
        <v>7312</v>
      </c>
      <c r="N22">
        <f t="shared" si="11"/>
        <v>490</v>
      </c>
      <c r="O22">
        <f t="shared" si="12"/>
        <v>2127</v>
      </c>
    </row>
    <row r="23" spans="1:15" x14ac:dyDescent="0.25">
      <c r="A23" t="s">
        <v>5</v>
      </c>
      <c r="B23">
        <v>1</v>
      </c>
      <c r="D23">
        <f t="shared" si="13"/>
        <v>0</v>
      </c>
      <c r="J23">
        <v>89</v>
      </c>
      <c r="K23">
        <f t="shared" si="8"/>
        <v>78</v>
      </c>
      <c r="L23">
        <f t="shared" si="9"/>
        <v>1404</v>
      </c>
      <c r="M23">
        <f t="shared" si="10"/>
        <v>6790</v>
      </c>
      <c r="N23">
        <f t="shared" si="11"/>
        <v>780</v>
      </c>
      <c r="O23">
        <f t="shared" si="12"/>
        <v>1837</v>
      </c>
    </row>
    <row r="24" spans="1:15" x14ac:dyDescent="0.25">
      <c r="A24" t="s">
        <v>6</v>
      </c>
      <c r="B24">
        <v>1</v>
      </c>
      <c r="D24">
        <f t="shared" si="13"/>
        <v>0</v>
      </c>
      <c r="J24">
        <v>90</v>
      </c>
      <c r="K24">
        <f t="shared" si="8"/>
        <v>109</v>
      </c>
      <c r="L24">
        <f t="shared" si="9"/>
        <v>1962</v>
      </c>
      <c r="M24">
        <f t="shared" si="10"/>
        <v>6232</v>
      </c>
      <c r="N24">
        <f t="shared" si="11"/>
        <v>1090</v>
      </c>
      <c r="O24">
        <f t="shared" si="12"/>
        <v>1527</v>
      </c>
    </row>
    <row r="25" spans="1:15" x14ac:dyDescent="0.25">
      <c r="A25" t="s">
        <v>7</v>
      </c>
      <c r="B25">
        <v>1</v>
      </c>
      <c r="D25">
        <f t="shared" si="13"/>
        <v>0</v>
      </c>
      <c r="J25">
        <v>91</v>
      </c>
      <c r="K25">
        <f t="shared" si="8"/>
        <v>144</v>
      </c>
      <c r="L25">
        <f t="shared" si="9"/>
        <v>2592</v>
      </c>
      <c r="M25">
        <f t="shared" si="10"/>
        <v>5602</v>
      </c>
      <c r="N25">
        <f t="shared" si="11"/>
        <v>1440</v>
      </c>
      <c r="O25">
        <f t="shared" si="12"/>
        <v>1177</v>
      </c>
    </row>
    <row r="26" spans="1:15" x14ac:dyDescent="0.25">
      <c r="A26" t="s">
        <v>8</v>
      </c>
      <c r="B26">
        <v>2</v>
      </c>
      <c r="D26">
        <f t="shared" si="13"/>
        <v>0</v>
      </c>
      <c r="J26">
        <v>92</v>
      </c>
      <c r="K26">
        <f t="shared" si="8"/>
        <v>182</v>
      </c>
      <c r="L26">
        <f t="shared" si="9"/>
        <v>3276</v>
      </c>
      <c r="M26">
        <f t="shared" si="10"/>
        <v>4918</v>
      </c>
      <c r="N26">
        <f t="shared" si="11"/>
        <v>1820</v>
      </c>
      <c r="O26">
        <f t="shared" si="12"/>
        <v>797</v>
      </c>
    </row>
    <row r="27" spans="1:15" x14ac:dyDescent="0.25">
      <c r="A27" t="s">
        <v>9</v>
      </c>
      <c r="B27">
        <v>2</v>
      </c>
      <c r="D27">
        <f t="shared" si="13"/>
        <v>0</v>
      </c>
      <c r="J27">
        <v>93</v>
      </c>
      <c r="K27">
        <f t="shared" si="8"/>
        <v>224</v>
      </c>
      <c r="L27">
        <f t="shared" si="9"/>
        <v>4032</v>
      </c>
      <c r="M27">
        <f>$F$17-L27</f>
        <v>4162</v>
      </c>
      <c r="N27">
        <f t="shared" si="11"/>
        <v>2240</v>
      </c>
      <c r="O27">
        <f t="shared" si="12"/>
        <v>377</v>
      </c>
    </row>
    <row r="28" spans="1:15" x14ac:dyDescent="0.25">
      <c r="A28" t="s">
        <v>10</v>
      </c>
      <c r="B28">
        <v>2</v>
      </c>
      <c r="D28">
        <f t="shared" si="13"/>
        <v>0</v>
      </c>
      <c r="J28">
        <v>94</v>
      </c>
      <c r="K28">
        <f t="shared" si="8"/>
        <v>271</v>
      </c>
      <c r="L28">
        <f t="shared" si="9"/>
        <v>4878</v>
      </c>
      <c r="M28">
        <f t="shared" ref="M28:M33" si="14">$F$17-L28</f>
        <v>3316</v>
      </c>
      <c r="N28">
        <f t="shared" si="11"/>
        <v>2710</v>
      </c>
      <c r="O28">
        <f t="shared" si="12"/>
        <v>-93</v>
      </c>
    </row>
    <row r="29" spans="1:15" x14ac:dyDescent="0.25">
      <c r="A29" t="s">
        <v>11</v>
      </c>
      <c r="B29">
        <v>2</v>
      </c>
      <c r="D29">
        <f t="shared" si="13"/>
        <v>0</v>
      </c>
      <c r="J29">
        <v>95</v>
      </c>
      <c r="K29">
        <f t="shared" si="8"/>
        <v>322</v>
      </c>
      <c r="L29">
        <f t="shared" si="9"/>
        <v>5796</v>
      </c>
      <c r="M29">
        <f t="shared" si="14"/>
        <v>2398</v>
      </c>
      <c r="N29">
        <f t="shared" si="11"/>
        <v>3220</v>
      </c>
      <c r="O29">
        <f t="shared" si="12"/>
        <v>-603</v>
      </c>
    </row>
    <row r="30" spans="1:15" x14ac:dyDescent="0.25">
      <c r="A30" t="s">
        <v>12</v>
      </c>
      <c r="B30">
        <v>2</v>
      </c>
      <c r="D30">
        <f t="shared" si="13"/>
        <v>0</v>
      </c>
      <c r="J30">
        <v>96</v>
      </c>
      <c r="K30">
        <f t="shared" si="8"/>
        <v>379</v>
      </c>
      <c r="L30">
        <f t="shared" si="9"/>
        <v>6822</v>
      </c>
      <c r="M30">
        <f t="shared" si="14"/>
        <v>1372</v>
      </c>
      <c r="N30">
        <f t="shared" si="11"/>
        <v>3790</v>
      </c>
      <c r="O30">
        <f t="shared" si="12"/>
        <v>-1173</v>
      </c>
    </row>
    <row r="31" spans="1:15" x14ac:dyDescent="0.25">
      <c r="A31" t="s">
        <v>13</v>
      </c>
      <c r="B31">
        <v>2</v>
      </c>
      <c r="D31">
        <f t="shared" si="13"/>
        <v>0</v>
      </c>
      <c r="J31">
        <v>97</v>
      </c>
      <c r="K31">
        <f t="shared" si="8"/>
        <v>442</v>
      </c>
      <c r="L31">
        <f t="shared" si="9"/>
        <v>7956</v>
      </c>
      <c r="M31">
        <f t="shared" si="14"/>
        <v>238</v>
      </c>
      <c r="N31">
        <f t="shared" si="11"/>
        <v>4420</v>
      </c>
      <c r="O31">
        <f t="shared" si="12"/>
        <v>-1803</v>
      </c>
    </row>
    <row r="32" spans="1:15" x14ac:dyDescent="0.25">
      <c r="A32" t="s">
        <v>14</v>
      </c>
      <c r="B32">
        <v>2</v>
      </c>
      <c r="D32">
        <f t="shared" si="13"/>
        <v>0</v>
      </c>
      <c r="J32">
        <v>98</v>
      </c>
      <c r="K32">
        <f t="shared" si="8"/>
        <v>511</v>
      </c>
      <c r="L32">
        <f t="shared" si="9"/>
        <v>9198</v>
      </c>
      <c r="M32">
        <f t="shared" si="14"/>
        <v>-1004</v>
      </c>
      <c r="N32">
        <f t="shared" si="11"/>
        <v>5110</v>
      </c>
      <c r="O32">
        <f t="shared" si="12"/>
        <v>-2493</v>
      </c>
    </row>
    <row r="33" spans="1:15" x14ac:dyDescent="0.25">
      <c r="A33" t="s">
        <v>15</v>
      </c>
      <c r="B33">
        <v>4</v>
      </c>
      <c r="D33">
        <f t="shared" si="13"/>
        <v>0</v>
      </c>
      <c r="J33">
        <v>99</v>
      </c>
      <c r="K33">
        <f t="shared" si="8"/>
        <v>588</v>
      </c>
      <c r="L33">
        <f t="shared" si="9"/>
        <v>10584</v>
      </c>
      <c r="M33">
        <f t="shared" si="14"/>
        <v>-2390</v>
      </c>
      <c r="N33">
        <f t="shared" si="11"/>
        <v>5880</v>
      </c>
      <c r="O33">
        <f t="shared" si="12"/>
        <v>-3263</v>
      </c>
    </row>
    <row r="34" spans="1:15" x14ac:dyDescent="0.25">
      <c r="A34" t="s">
        <v>16</v>
      </c>
      <c r="B34">
        <v>1</v>
      </c>
      <c r="C34">
        <v>215</v>
      </c>
      <c r="D34">
        <f t="shared" si="13"/>
        <v>215</v>
      </c>
    </row>
    <row r="35" spans="1:15" x14ac:dyDescent="0.25">
      <c r="A35" t="s">
        <v>17</v>
      </c>
      <c r="B35">
        <v>1</v>
      </c>
      <c r="C35">
        <v>736</v>
      </c>
      <c r="D35">
        <f t="shared" si="13"/>
        <v>736</v>
      </c>
      <c r="K35" t="s">
        <v>31</v>
      </c>
    </row>
    <row r="36" spans="1:15" x14ac:dyDescent="0.25">
      <c r="A36" t="s">
        <v>20</v>
      </c>
      <c r="D36">
        <f>SUM(D21:D35)</f>
        <v>951</v>
      </c>
      <c r="K36" t="s">
        <v>21</v>
      </c>
      <c r="L36" t="s">
        <v>22</v>
      </c>
      <c r="M36" t="s">
        <v>23</v>
      </c>
      <c r="N36" t="s">
        <v>32</v>
      </c>
      <c r="O36" t="s">
        <v>33</v>
      </c>
    </row>
    <row r="37" spans="1:15" x14ac:dyDescent="0.25">
      <c r="J37">
        <v>86</v>
      </c>
      <c r="K37">
        <f>CEILING((I7-$I$6)/$I$5,1)</f>
        <v>0</v>
      </c>
      <c r="L37">
        <f>18*K37</f>
        <v>0</v>
      </c>
      <c r="M37">
        <f>$F$17-L37</f>
        <v>8194</v>
      </c>
      <c r="N37">
        <f>10*K37</f>
        <v>0</v>
      </c>
      <c r="O37">
        <f>$D$36-N37</f>
        <v>951</v>
      </c>
    </row>
    <row r="38" spans="1:15" x14ac:dyDescent="0.25">
      <c r="J38">
        <v>87</v>
      </c>
      <c r="K38">
        <f t="shared" ref="K38:K50" si="15">CEILING((I8-$I$6)/$I$5,1)</f>
        <v>18</v>
      </c>
      <c r="L38">
        <f t="shared" ref="L38:L50" si="16">18*K38</f>
        <v>324</v>
      </c>
      <c r="M38">
        <f t="shared" ref="M38:M43" si="17">$F$17-L38</f>
        <v>7870</v>
      </c>
      <c r="N38">
        <f t="shared" ref="N38:N50" si="18">10*K38</f>
        <v>180</v>
      </c>
      <c r="O38">
        <f t="shared" ref="O38:O50" si="19">$D$36-N38</f>
        <v>771</v>
      </c>
    </row>
    <row r="39" spans="1:15" x14ac:dyDescent="0.25">
      <c r="J39">
        <v>88</v>
      </c>
      <c r="K39">
        <f t="shared" si="15"/>
        <v>37</v>
      </c>
      <c r="L39">
        <f t="shared" si="16"/>
        <v>666</v>
      </c>
      <c r="M39">
        <f t="shared" si="17"/>
        <v>7528</v>
      </c>
      <c r="N39">
        <f t="shared" si="18"/>
        <v>370</v>
      </c>
      <c r="O39">
        <f t="shared" si="19"/>
        <v>581</v>
      </c>
    </row>
    <row r="40" spans="1:15" x14ac:dyDescent="0.25">
      <c r="J40">
        <v>89</v>
      </c>
      <c r="K40">
        <f t="shared" si="15"/>
        <v>58</v>
      </c>
      <c r="L40">
        <f t="shared" si="16"/>
        <v>1044</v>
      </c>
      <c r="M40">
        <f t="shared" si="17"/>
        <v>7150</v>
      </c>
      <c r="N40">
        <f t="shared" si="18"/>
        <v>580</v>
      </c>
      <c r="O40">
        <f t="shared" si="19"/>
        <v>371</v>
      </c>
    </row>
    <row r="41" spans="1:15" x14ac:dyDescent="0.25">
      <c r="J41">
        <v>90</v>
      </c>
      <c r="K41">
        <f t="shared" si="15"/>
        <v>82</v>
      </c>
      <c r="L41">
        <f t="shared" si="16"/>
        <v>1476</v>
      </c>
      <c r="M41">
        <f t="shared" si="17"/>
        <v>6718</v>
      </c>
      <c r="N41">
        <f t="shared" si="18"/>
        <v>820</v>
      </c>
      <c r="O41">
        <f t="shared" si="19"/>
        <v>131</v>
      </c>
    </row>
    <row r="42" spans="1:15" x14ac:dyDescent="0.25">
      <c r="J42">
        <v>91</v>
      </c>
      <c r="K42">
        <f t="shared" si="15"/>
        <v>108</v>
      </c>
      <c r="L42">
        <f t="shared" si="16"/>
        <v>1944</v>
      </c>
      <c r="M42">
        <f t="shared" si="17"/>
        <v>6250</v>
      </c>
      <c r="N42">
        <f t="shared" si="18"/>
        <v>1080</v>
      </c>
      <c r="O42">
        <f t="shared" si="19"/>
        <v>-129</v>
      </c>
    </row>
    <row r="43" spans="1:15" x14ac:dyDescent="0.25">
      <c r="J43">
        <v>92</v>
      </c>
      <c r="K43">
        <f t="shared" si="15"/>
        <v>136</v>
      </c>
      <c r="L43">
        <f t="shared" si="16"/>
        <v>2448</v>
      </c>
      <c r="M43">
        <f t="shared" si="17"/>
        <v>5746</v>
      </c>
      <c r="N43">
        <f t="shared" si="18"/>
        <v>1360</v>
      </c>
      <c r="O43">
        <f t="shared" si="19"/>
        <v>-409</v>
      </c>
    </row>
    <row r="44" spans="1:15" x14ac:dyDescent="0.25">
      <c r="J44">
        <v>93</v>
      </c>
      <c r="K44">
        <f t="shared" si="15"/>
        <v>168</v>
      </c>
      <c r="L44">
        <f t="shared" si="16"/>
        <v>3024</v>
      </c>
      <c r="M44">
        <f>$F$17-L44</f>
        <v>5170</v>
      </c>
      <c r="N44">
        <f t="shared" si="18"/>
        <v>1680</v>
      </c>
      <c r="O44">
        <f t="shared" si="19"/>
        <v>-729</v>
      </c>
    </row>
    <row r="45" spans="1:15" x14ac:dyDescent="0.25">
      <c r="J45">
        <v>94</v>
      </c>
      <c r="K45">
        <f t="shared" si="15"/>
        <v>203</v>
      </c>
      <c r="L45">
        <f t="shared" si="16"/>
        <v>3654</v>
      </c>
      <c r="M45">
        <f t="shared" ref="M45:M50" si="20">$F$17-L45</f>
        <v>4540</v>
      </c>
      <c r="N45">
        <f t="shared" si="18"/>
        <v>2030</v>
      </c>
      <c r="O45">
        <f t="shared" si="19"/>
        <v>-1079</v>
      </c>
    </row>
    <row r="46" spans="1:15" x14ac:dyDescent="0.25">
      <c r="J46">
        <v>95</v>
      </c>
      <c r="K46">
        <f t="shared" si="15"/>
        <v>241</v>
      </c>
      <c r="L46">
        <f t="shared" si="16"/>
        <v>4338</v>
      </c>
      <c r="M46">
        <f t="shared" si="20"/>
        <v>3856</v>
      </c>
      <c r="N46">
        <f t="shared" si="18"/>
        <v>2410</v>
      </c>
      <c r="O46">
        <f t="shared" si="19"/>
        <v>-1459</v>
      </c>
    </row>
    <row r="47" spans="1:15" x14ac:dyDescent="0.25">
      <c r="J47">
        <v>96</v>
      </c>
      <c r="K47">
        <f t="shared" si="15"/>
        <v>284</v>
      </c>
      <c r="L47">
        <f t="shared" si="16"/>
        <v>5112</v>
      </c>
      <c r="M47">
        <f t="shared" si="20"/>
        <v>3082</v>
      </c>
      <c r="N47">
        <f t="shared" si="18"/>
        <v>2840</v>
      </c>
      <c r="O47">
        <f t="shared" si="19"/>
        <v>-1889</v>
      </c>
    </row>
    <row r="48" spans="1:15" x14ac:dyDescent="0.25">
      <c r="J48">
        <v>97</v>
      </c>
      <c r="K48">
        <f t="shared" si="15"/>
        <v>331</v>
      </c>
      <c r="L48">
        <f t="shared" si="16"/>
        <v>5958</v>
      </c>
      <c r="M48">
        <f t="shared" si="20"/>
        <v>2236</v>
      </c>
      <c r="N48">
        <f t="shared" si="18"/>
        <v>3310</v>
      </c>
      <c r="O48">
        <f t="shared" si="19"/>
        <v>-2359</v>
      </c>
    </row>
    <row r="49" spans="10:15" x14ac:dyDescent="0.25">
      <c r="J49">
        <v>98</v>
      </c>
      <c r="K49">
        <f t="shared" si="15"/>
        <v>383</v>
      </c>
      <c r="L49">
        <f t="shared" si="16"/>
        <v>6894</v>
      </c>
      <c r="M49">
        <f t="shared" si="20"/>
        <v>1300</v>
      </c>
      <c r="N49">
        <f t="shared" si="18"/>
        <v>3830</v>
      </c>
      <c r="O49">
        <f t="shared" si="19"/>
        <v>-2879</v>
      </c>
    </row>
    <row r="50" spans="10:15" x14ac:dyDescent="0.25">
      <c r="J50">
        <v>99</v>
      </c>
      <c r="K50">
        <f t="shared" si="15"/>
        <v>440</v>
      </c>
      <c r="L50">
        <f t="shared" si="16"/>
        <v>7920</v>
      </c>
      <c r="M50">
        <f t="shared" si="20"/>
        <v>274</v>
      </c>
      <c r="N50">
        <f t="shared" si="18"/>
        <v>4400</v>
      </c>
      <c r="O50">
        <f t="shared" si="19"/>
        <v>-3449</v>
      </c>
    </row>
  </sheetData>
  <conditionalFormatting sqref="M3:M9">
    <cfRule type="cellIs" dxfId="20" priority="19" operator="lessThan">
      <formula>0</formula>
    </cfRule>
    <cfRule type="cellIs" dxfId="19" priority="21" operator="lessThan">
      <formula>0</formula>
    </cfRule>
    <cfRule type="expression" dxfId="18" priority="22">
      <formula>"&lt;0"</formula>
    </cfRule>
  </conditionalFormatting>
  <conditionalFormatting sqref="O3:O16">
    <cfRule type="cellIs" dxfId="17" priority="20" operator="lessThan">
      <formula>0</formula>
    </cfRule>
  </conditionalFormatting>
  <conditionalFormatting sqref="M10:M16">
    <cfRule type="cellIs" dxfId="16" priority="15" operator="lessThan">
      <formula>0</formula>
    </cfRule>
    <cfRule type="cellIs" dxfId="15" priority="17" operator="lessThan">
      <formula>0</formula>
    </cfRule>
    <cfRule type="expression" dxfId="14" priority="18">
      <formula>"&lt;0"</formula>
    </cfRule>
  </conditionalFormatting>
  <conditionalFormatting sqref="M20:M26">
    <cfRule type="cellIs" dxfId="13" priority="11" operator="lessThan">
      <formula>0</formula>
    </cfRule>
    <cfRule type="cellIs" dxfId="12" priority="13" operator="lessThan">
      <formula>0</formula>
    </cfRule>
    <cfRule type="expression" dxfId="11" priority="14">
      <formula>"&lt;0"</formula>
    </cfRule>
  </conditionalFormatting>
  <conditionalFormatting sqref="O20:O33">
    <cfRule type="cellIs" dxfId="10" priority="12" operator="lessThan">
      <formula>0</formula>
    </cfRule>
  </conditionalFormatting>
  <conditionalFormatting sqref="M27:M33">
    <cfRule type="cellIs" dxfId="9" priority="8" operator="lessThan">
      <formula>0</formula>
    </cfRule>
    <cfRule type="cellIs" dxfId="8" priority="9" operator="lessThan">
      <formula>0</formula>
    </cfRule>
    <cfRule type="expression" dxfId="7" priority="10">
      <formula>"&lt;0"</formula>
    </cfRule>
  </conditionalFormatting>
  <conditionalFormatting sqref="M37:M43">
    <cfRule type="cellIs" dxfId="6" priority="4" operator="lessThan">
      <formula>0</formula>
    </cfRule>
    <cfRule type="cellIs" dxfId="5" priority="6" operator="lessThan">
      <formula>0</formula>
    </cfRule>
    <cfRule type="expression" dxfId="4" priority="7">
      <formula>"&lt;0"</formula>
    </cfRule>
  </conditionalFormatting>
  <conditionalFormatting sqref="O37:O50">
    <cfRule type="cellIs" dxfId="3" priority="5" operator="lessThan">
      <formula>0</formula>
    </cfRule>
  </conditionalFormatting>
  <conditionalFormatting sqref="M44:M50">
    <cfRule type="cellIs" dxfId="2" priority="1" operator="lessThan">
      <formula>0</formula>
    </cfRule>
    <cfRule type="cellIs" dxfId="1" priority="2" operator="lessThan">
      <formula>0</formula>
    </cfRule>
    <cfRule type="expression" dxfId="0" priority="3">
      <formula>"&lt;0"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2023-05-02T22:24:42Z</dcterms:created>
  <dcterms:modified xsi:type="dcterms:W3CDTF">2026-04-03T13:27:12Z</dcterms:modified>
</cp:coreProperties>
</file>