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8" i="1" s="1"/>
  <c r="H19" i="1" s="1"/>
  <c r="H21" i="1" l="1"/>
  <c r="I20" i="1"/>
  <c r="H20" i="1"/>
  <c r="N5" i="1"/>
  <c r="N2" i="1"/>
  <c r="N4" i="1" s="1"/>
  <c r="N6" i="1" s="1"/>
  <c r="N7" i="1" s="1"/>
  <c r="H22" i="1" l="1"/>
  <c r="O8" i="1"/>
  <c r="N9" i="1"/>
  <c r="N8" i="1"/>
  <c r="N10" i="1" l="1"/>
  <c r="H4" i="1"/>
  <c r="H6" i="1" s="1"/>
  <c r="H7" i="1" s="1"/>
  <c r="H5" i="1"/>
  <c r="B5" i="1"/>
  <c r="B4" i="1"/>
  <c r="B6" i="1" s="1"/>
  <c r="B7" i="1" s="1"/>
  <c r="H8" i="1" l="1"/>
  <c r="H9" i="1"/>
  <c r="I8" i="1"/>
  <c r="B9" i="1"/>
  <c r="C8" i="1"/>
  <c r="B8" i="1"/>
  <c r="H10" i="1" l="1"/>
  <c r="B10" i="1"/>
</calcChain>
</file>

<file path=xl/sharedStrings.xml><?xml version="1.0" encoding="utf-8"?>
<sst xmlns="http://schemas.openxmlformats.org/spreadsheetml/2006/main" count="36" uniqueCount="9">
  <si>
    <t>XP</t>
  </si>
  <si>
    <t>Target XP</t>
  </si>
  <si>
    <t>XP Needed</t>
  </si>
  <si>
    <t>XP per maple log</t>
  </si>
  <si>
    <t>Number of maple logs needed</t>
  </si>
  <si>
    <t>Numer of feathers/broad arrowheads</t>
  </si>
  <si>
    <t>Feather Cost</t>
  </si>
  <si>
    <t>Total Cost</t>
  </si>
  <si>
    <t>Broad Arrow Cost (250/world)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</si>
</sst>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H15" sqref="H15"/>
    </sheetView>
  </sheetViews>
  <sheetFormatPr defaultRowHeight="15" x14ac:dyDescent="0.25"/>
  <cols>
    <col min="1" max="1" width="28.42578125" bestFit="1" customWidth="1"/>
    <col min="7" max="7" width="13.140625" customWidth="1"/>
    <col min="8" max="8" width="11.28515625" customWidth="1"/>
  </cols>
  <sheetData>
    <row r="1" spans="1:15" x14ac:dyDescent="0.25">
      <c r="A1">
        <v>81</v>
      </c>
      <c r="G1">
        <v>90</v>
      </c>
      <c r="M1">
        <v>90</v>
      </c>
    </row>
    <row r="2" spans="1:15" x14ac:dyDescent="0.25">
      <c r="A2" s="1" t="s">
        <v>0</v>
      </c>
      <c r="B2">
        <v>2239474</v>
      </c>
      <c r="C2" s="2"/>
      <c r="G2" s="1" t="s">
        <v>0</v>
      </c>
      <c r="H2">
        <v>2239474</v>
      </c>
      <c r="M2" s="1" t="s">
        <v>0</v>
      </c>
      <c r="N2">
        <f>H2</f>
        <v>2239474</v>
      </c>
    </row>
    <row r="3" spans="1:15" x14ac:dyDescent="0.25">
      <c r="A3" s="1" t="s">
        <v>1</v>
      </c>
      <c r="B3">
        <v>2192818</v>
      </c>
      <c r="G3" s="1" t="s">
        <v>1</v>
      </c>
      <c r="H3">
        <v>5346332</v>
      </c>
      <c r="M3" s="1" t="s">
        <v>1</v>
      </c>
      <c r="N3">
        <v>1986068</v>
      </c>
    </row>
    <row r="4" spans="1:15" x14ac:dyDescent="0.25">
      <c r="A4" s="1" t="s">
        <v>2</v>
      </c>
      <c r="B4">
        <f>B3-B2</f>
        <v>-46656</v>
      </c>
      <c r="G4" s="1" t="s">
        <v>2</v>
      </c>
      <c r="H4">
        <f>H3-H2</f>
        <v>3106858</v>
      </c>
      <c r="M4" s="1" t="s">
        <v>2</v>
      </c>
      <c r="N4">
        <f>N3-N2</f>
        <v>-253406</v>
      </c>
    </row>
    <row r="5" spans="1:15" x14ac:dyDescent="0.25">
      <c r="A5" s="1" t="s">
        <v>3</v>
      </c>
      <c r="B5">
        <f>20+60*10+60</f>
        <v>680</v>
      </c>
      <c r="G5" s="1" t="s">
        <v>3</v>
      </c>
      <c r="H5">
        <f>20+60*10+60</f>
        <v>680</v>
      </c>
      <c r="M5" s="1" t="s">
        <v>3</v>
      </c>
      <c r="N5">
        <f>20+60*10+60</f>
        <v>680</v>
      </c>
    </row>
    <row r="6" spans="1:15" x14ac:dyDescent="0.25">
      <c r="A6" s="1" t="s">
        <v>4</v>
      </c>
      <c r="B6">
        <f>_xlfn.CEILING.MATH(B4/B5)</f>
        <v>-68</v>
      </c>
      <c r="G6" s="1" t="s">
        <v>4</v>
      </c>
      <c r="H6">
        <f>_xlfn.CEILING.MATH(H4/H5)</f>
        <v>4569</v>
      </c>
      <c r="M6" s="1" t="s">
        <v>4</v>
      </c>
      <c r="N6">
        <f>_xlfn.CEILING.MATH(N4/N5)</f>
        <v>-372</v>
      </c>
    </row>
    <row r="7" spans="1:15" x14ac:dyDescent="0.25">
      <c r="A7" s="1" t="s">
        <v>5</v>
      </c>
      <c r="B7">
        <f>B6*60</f>
        <v>-4080</v>
      </c>
      <c r="G7" s="1" t="s">
        <v>5</v>
      </c>
      <c r="H7">
        <f>H6*60</f>
        <v>274140</v>
      </c>
      <c r="M7" s="1" t="s">
        <v>5</v>
      </c>
      <c r="N7">
        <f>N6*60</f>
        <v>-22320</v>
      </c>
    </row>
    <row r="8" spans="1:15" x14ac:dyDescent="0.25">
      <c r="A8" s="1" t="s">
        <v>8</v>
      </c>
      <c r="B8">
        <f>B7*55</f>
        <v>-224400</v>
      </c>
      <c r="C8">
        <f>B7/250</f>
        <v>-16.32</v>
      </c>
      <c r="G8" s="1" t="s">
        <v>8</v>
      </c>
      <c r="H8">
        <f>H7*55</f>
        <v>15077700</v>
      </c>
      <c r="I8">
        <f>H7/250</f>
        <v>1096.56</v>
      </c>
      <c r="M8" s="1" t="s">
        <v>8</v>
      </c>
      <c r="N8">
        <f>N7*55</f>
        <v>-1227600</v>
      </c>
      <c r="O8">
        <f>N7/250</f>
        <v>-89.28</v>
      </c>
    </row>
    <row r="9" spans="1:15" x14ac:dyDescent="0.25">
      <c r="A9" s="1" t="s">
        <v>6</v>
      </c>
      <c r="B9">
        <f>3.5099*B7</f>
        <v>-14320.392</v>
      </c>
      <c r="G9" s="1" t="s">
        <v>6</v>
      </c>
      <c r="H9">
        <f>3.5099*H7</f>
        <v>962203.98600000003</v>
      </c>
      <c r="M9" s="1" t="s">
        <v>6</v>
      </c>
      <c r="N9">
        <f>3.5099*N7</f>
        <v>-78340.967999999993</v>
      </c>
    </row>
    <row r="10" spans="1:15" x14ac:dyDescent="0.25">
      <c r="A10" s="1" t="s">
        <v>7</v>
      </c>
      <c r="B10">
        <f>B9+B8</f>
        <v>-238720.39199999999</v>
      </c>
      <c r="G10" s="1" t="s">
        <v>7</v>
      </c>
      <c r="H10">
        <f>H9+H8</f>
        <v>16039903.986</v>
      </c>
      <c r="M10" s="1" t="s">
        <v>7</v>
      </c>
      <c r="N10">
        <f>N9+N8</f>
        <v>-1305940.9679999999</v>
      </c>
    </row>
    <row r="13" spans="1:15" x14ac:dyDescent="0.25">
      <c r="G13">
        <v>91</v>
      </c>
    </row>
    <row r="14" spans="1:15" x14ac:dyDescent="0.25">
      <c r="G14" s="1" t="s">
        <v>0</v>
      </c>
      <c r="H14">
        <v>2239474</v>
      </c>
    </row>
    <row r="15" spans="1:15" x14ac:dyDescent="0.25">
      <c r="G15" s="1" t="s">
        <v>1</v>
      </c>
      <c r="H15" s="3">
        <v>5902831</v>
      </c>
    </row>
    <row r="16" spans="1:15" x14ac:dyDescent="0.25">
      <c r="G16" s="1" t="s">
        <v>2</v>
      </c>
      <c r="H16">
        <f>H15-H14</f>
        <v>3663357</v>
      </c>
    </row>
    <row r="17" spans="7:9" x14ac:dyDescent="0.25">
      <c r="G17" s="1" t="s">
        <v>3</v>
      </c>
      <c r="H17">
        <f>20+60*10+60</f>
        <v>680</v>
      </c>
    </row>
    <row r="18" spans="7:9" x14ac:dyDescent="0.25">
      <c r="G18" s="1" t="s">
        <v>4</v>
      </c>
      <c r="H18">
        <f>_xlfn.CEILING.MATH(H16/H17)</f>
        <v>5388</v>
      </c>
    </row>
    <row r="19" spans="7:9" x14ac:dyDescent="0.25">
      <c r="G19" s="1" t="s">
        <v>5</v>
      </c>
      <c r="H19">
        <f>H18*60</f>
        <v>323280</v>
      </c>
    </row>
    <row r="20" spans="7:9" x14ac:dyDescent="0.25">
      <c r="G20" s="1" t="s">
        <v>8</v>
      </c>
      <c r="H20">
        <f>H19*55</f>
        <v>17780400</v>
      </c>
      <c r="I20">
        <f>H19/250</f>
        <v>1293.1199999999999</v>
      </c>
    </row>
    <row r="21" spans="7:9" x14ac:dyDescent="0.25">
      <c r="G21" s="1" t="s">
        <v>6</v>
      </c>
      <c r="H21">
        <f>3.5099*H19</f>
        <v>1134680.4720000001</v>
      </c>
    </row>
    <row r="22" spans="7:9" x14ac:dyDescent="0.25">
      <c r="G22" s="1" t="s">
        <v>7</v>
      </c>
      <c r="H22">
        <f>H21+H20</f>
        <v>18915080.471999999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2026-07-22T21:04:07Z</dcterms:modified>
</cp:coreProperties>
</file>